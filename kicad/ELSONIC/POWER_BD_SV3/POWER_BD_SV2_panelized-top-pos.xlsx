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SV3\"/>
    </mc:Choice>
  </mc:AlternateContent>
  <xr:revisionPtr revIDLastSave="0" documentId="13_ncr:1_{E088F648-499C-445D-9A92-2ED4E94D41C0}" xr6:coauthVersionLast="45" xr6:coauthVersionMax="45" xr10:uidLastSave="{00000000-0000-0000-0000-000000000000}"/>
  <bookViews>
    <workbookView xWindow="29850" yWindow="300" windowWidth="24960" windowHeight="14205" xr2:uid="{00000000-000D-0000-FFFF-FFFF00000000}"/>
  </bookViews>
  <sheets>
    <sheet name="POWER_BD_SV3_panelized-top-po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5" i="1"/>
</calcChain>
</file>

<file path=xl/sharedStrings.xml><?xml version="1.0" encoding="utf-8"?>
<sst xmlns="http://schemas.openxmlformats.org/spreadsheetml/2006/main" count="368" uniqueCount="141">
  <si>
    <t>Ref</t>
  </si>
  <si>
    <t>Val</t>
  </si>
  <si>
    <t>Package</t>
  </si>
  <si>
    <t>PosX</t>
  </si>
  <si>
    <t>PosY</t>
  </si>
  <si>
    <t>Rot</t>
  </si>
  <si>
    <t>Side</t>
  </si>
  <si>
    <t>C5</t>
  </si>
  <si>
    <t>MLCC104</t>
  </si>
  <si>
    <t>C_3216Metric</t>
  </si>
  <si>
    <t>top</t>
  </si>
  <si>
    <t>C6</t>
  </si>
  <si>
    <t>MLCC102</t>
  </si>
  <si>
    <t>C8</t>
  </si>
  <si>
    <t>MLCC471</t>
  </si>
  <si>
    <t>C9</t>
  </si>
  <si>
    <t>C11</t>
  </si>
  <si>
    <t>MLCC335</t>
  </si>
  <si>
    <t>C12</t>
  </si>
  <si>
    <t>C13</t>
  </si>
  <si>
    <t>C15</t>
  </si>
  <si>
    <t>C19</t>
  </si>
  <si>
    <t>MLCC224</t>
  </si>
  <si>
    <t>C26</t>
  </si>
  <si>
    <t>C27</t>
  </si>
  <si>
    <t>C28</t>
  </si>
  <si>
    <t>C30</t>
  </si>
  <si>
    <t>LED1</t>
  </si>
  <si>
    <t>LED_SMD</t>
  </si>
  <si>
    <t>LED_2012Metric</t>
  </si>
  <si>
    <t>LED2</t>
  </si>
  <si>
    <t>R2</t>
  </si>
  <si>
    <t>1.2K</t>
  </si>
  <si>
    <t>R_3216Metric</t>
  </si>
  <si>
    <t>R6</t>
  </si>
  <si>
    <t>10K</t>
  </si>
  <si>
    <t>R7</t>
  </si>
  <si>
    <t>4.7R</t>
  </si>
  <si>
    <t>R8</t>
  </si>
  <si>
    <t>R9</t>
  </si>
  <si>
    <t>1K</t>
  </si>
  <si>
    <t>R10</t>
  </si>
  <si>
    <t>4.7K</t>
  </si>
  <si>
    <t>R11</t>
  </si>
  <si>
    <t>R12</t>
  </si>
  <si>
    <t>820R</t>
  </si>
  <si>
    <t>R13</t>
  </si>
  <si>
    <t>1.2K/F</t>
  </si>
  <si>
    <t>R14</t>
  </si>
  <si>
    <t>10R</t>
  </si>
  <si>
    <t>R15</t>
  </si>
  <si>
    <t>R16</t>
  </si>
  <si>
    <t>R17</t>
  </si>
  <si>
    <t>68K</t>
  </si>
  <si>
    <t>R18</t>
  </si>
  <si>
    <t>1K/F</t>
  </si>
  <si>
    <t>R19</t>
  </si>
  <si>
    <t>40K/F</t>
  </si>
  <si>
    <t>R20</t>
  </si>
  <si>
    <t>10K/F</t>
  </si>
  <si>
    <t>R21</t>
  </si>
  <si>
    <t>R22</t>
  </si>
  <si>
    <t>2.2K</t>
  </si>
  <si>
    <t>R23</t>
  </si>
  <si>
    <t>220R</t>
  </si>
  <si>
    <t>R27</t>
  </si>
  <si>
    <t>100R</t>
  </si>
  <si>
    <t>1_1</t>
    <phoneticPr fontId="18" type="noConversion"/>
  </si>
  <si>
    <t>2_2</t>
    <phoneticPr fontId="18" type="noConversion"/>
  </si>
  <si>
    <t>2_4</t>
  </si>
  <si>
    <t>1_4</t>
  </si>
  <si>
    <t>2_5</t>
  </si>
  <si>
    <t>1_5</t>
  </si>
  <si>
    <t>2_6</t>
  </si>
  <si>
    <t>1_6</t>
  </si>
  <si>
    <t>2_7</t>
  </si>
  <si>
    <t>1_7</t>
  </si>
  <si>
    <t>2_8</t>
  </si>
  <si>
    <t>1_8</t>
  </si>
  <si>
    <t>2_9</t>
  </si>
  <si>
    <t>1_9</t>
  </si>
  <si>
    <t>2_10</t>
  </si>
  <si>
    <t>1_10</t>
  </si>
  <si>
    <t>2_11</t>
  </si>
  <si>
    <t>1_11</t>
  </si>
  <si>
    <t>2_12</t>
  </si>
  <si>
    <t>1_12</t>
  </si>
  <si>
    <t>2_13</t>
  </si>
  <si>
    <t>1_13</t>
  </si>
  <si>
    <t>2_14</t>
  </si>
  <si>
    <t>1_14</t>
  </si>
  <si>
    <t>2_15</t>
  </si>
  <si>
    <t>1_15</t>
  </si>
  <si>
    <t>2_16</t>
  </si>
  <si>
    <t>1_16</t>
  </si>
  <si>
    <t>2_17</t>
  </si>
  <si>
    <t>1_17</t>
  </si>
  <si>
    <t>2_18</t>
  </si>
  <si>
    <t>1_18</t>
  </si>
  <si>
    <t>2_1</t>
    <phoneticPr fontId="18" type="noConversion"/>
  </si>
  <si>
    <t>1_2</t>
    <phoneticPr fontId="18" type="noConversion"/>
  </si>
  <si>
    <t>1_3</t>
    <phoneticPr fontId="18" type="noConversion"/>
  </si>
  <si>
    <t>1_19</t>
  </si>
  <si>
    <t>1_20</t>
  </si>
  <si>
    <t>1_21</t>
  </si>
  <si>
    <t>1_22</t>
  </si>
  <si>
    <t>1_23</t>
  </si>
  <si>
    <t>1_24</t>
  </si>
  <si>
    <t>1_25</t>
  </si>
  <si>
    <t>1_26</t>
  </si>
  <si>
    <t>1_27</t>
  </si>
  <si>
    <t>1_28</t>
  </si>
  <si>
    <t>1_29</t>
  </si>
  <si>
    <t>1_30</t>
  </si>
  <si>
    <t>1_31</t>
  </si>
  <si>
    <t>1_32</t>
  </si>
  <si>
    <t>1_33</t>
  </si>
  <si>
    <t>1_34</t>
  </si>
  <si>
    <t>1_35</t>
  </si>
  <si>
    <t>2_3</t>
    <phoneticPr fontId="18" type="noConversion"/>
  </si>
  <si>
    <t>2_19</t>
  </si>
  <si>
    <t>2_20</t>
  </si>
  <si>
    <t>2_21</t>
  </si>
  <si>
    <t>2_22</t>
  </si>
  <si>
    <t>2_23</t>
  </si>
  <si>
    <t>2_24</t>
  </si>
  <si>
    <t>2_25</t>
  </si>
  <si>
    <t>2_26</t>
  </si>
  <si>
    <t>2_27</t>
  </si>
  <si>
    <t>2_28</t>
  </si>
  <si>
    <t>2_29</t>
  </si>
  <si>
    <t>2_30</t>
  </si>
  <si>
    <t>2_31</t>
  </si>
  <si>
    <t>2_32</t>
  </si>
  <si>
    <t>2_33</t>
  </si>
  <si>
    <t>2_34</t>
  </si>
  <si>
    <t>2_35</t>
  </si>
  <si>
    <t>1보드</t>
    <phoneticPr fontId="18" type="noConversion"/>
  </si>
  <si>
    <t>2보드</t>
    <phoneticPr fontId="18" type="noConversion"/>
  </si>
  <si>
    <t>1번 보드 좌표</t>
    <phoneticPr fontId="18" type="noConversion"/>
  </si>
  <si>
    <t>2번 보드 좌표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</si>
</sst>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2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176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9"/>
  <sheetViews>
    <sheetView tabSelected="1" workbookViewId="0">
      <selection activeCell="G2" sqref="G2"/>
    </sheetView>
  </sheetViews>
  <sheetFormatPr defaultRowHeight="16.5" x14ac:dyDescent="0.3"/>
  <cols>
    <col min="1" max="1" width="6.25" style="1" customWidth="1"/>
    <col min="2" max="2" width="7.875" style="1" customWidth="1"/>
    <col min="3" max="3" width="10.875" customWidth="1"/>
    <col min="4" max="4" width="16" customWidth="1"/>
    <col min="5" max="7" width="9" style="1"/>
    <col min="8" max="8" width="8.75" style="1" customWidth="1"/>
    <col min="9" max="9" width="6.625" customWidth="1"/>
    <col min="11" max="11" width="10.75" customWidth="1"/>
    <col min="12" max="12" width="15.25" customWidth="1"/>
  </cols>
  <sheetData>
    <row r="2" spans="1:16" ht="17.25" x14ac:dyDescent="0.3">
      <c r="C2" s="20" t="s">
        <v>139</v>
      </c>
      <c r="D2" s="20"/>
      <c r="E2" s="20"/>
      <c r="F2" s="20"/>
      <c r="K2" s="20" t="s">
        <v>140</v>
      </c>
      <c r="L2" s="20"/>
      <c r="M2" s="20"/>
      <c r="N2" s="20"/>
    </row>
    <row r="3" spans="1:16" ht="17.25" thickBot="1" x14ac:dyDescent="0.35"/>
    <row r="4" spans="1:16" ht="17.25" thickBot="1" x14ac:dyDescent="0.35">
      <c r="A4" s="16" t="s">
        <v>137</v>
      </c>
      <c r="B4" s="17" t="s">
        <v>0</v>
      </c>
      <c r="C4" s="17" t="s">
        <v>1</v>
      </c>
      <c r="D4" s="18" t="s">
        <v>2</v>
      </c>
      <c r="E4" s="17" t="s">
        <v>3</v>
      </c>
      <c r="F4" s="17" t="s">
        <v>4</v>
      </c>
      <c r="G4" s="17" t="s">
        <v>5</v>
      </c>
      <c r="H4" s="19" t="s">
        <v>6</v>
      </c>
      <c r="I4" s="16" t="s">
        <v>138</v>
      </c>
      <c r="J4" s="17" t="s">
        <v>0</v>
      </c>
      <c r="K4" s="17" t="s">
        <v>1</v>
      </c>
      <c r="L4" s="18" t="s">
        <v>2</v>
      </c>
      <c r="M4" s="17" t="s">
        <v>3</v>
      </c>
      <c r="N4" s="17" t="s">
        <v>4</v>
      </c>
      <c r="O4" s="17" t="s">
        <v>5</v>
      </c>
      <c r="P4" s="19" t="s">
        <v>6</v>
      </c>
    </row>
    <row r="5" spans="1:16" x14ac:dyDescent="0.3">
      <c r="A5" s="11" t="s">
        <v>67</v>
      </c>
      <c r="B5" s="12" t="s">
        <v>7</v>
      </c>
      <c r="C5" s="13" t="s">
        <v>8</v>
      </c>
      <c r="D5" s="13" t="s">
        <v>9</v>
      </c>
      <c r="E5" s="12">
        <v>42.2</v>
      </c>
      <c r="F5" s="12">
        <v>53</v>
      </c>
      <c r="G5" s="12">
        <v>0</v>
      </c>
      <c r="H5" s="14" t="s">
        <v>10</v>
      </c>
      <c r="I5" s="15" t="s">
        <v>99</v>
      </c>
      <c r="J5" s="12" t="s">
        <v>7</v>
      </c>
      <c r="K5" s="13" t="s">
        <v>8</v>
      </c>
      <c r="L5" s="13" t="s">
        <v>9</v>
      </c>
      <c r="M5" s="12">
        <f>E5+100</f>
        <v>142.19999999999999</v>
      </c>
      <c r="N5" s="12">
        <v>53</v>
      </c>
      <c r="O5" s="12">
        <v>0</v>
      </c>
      <c r="P5" s="14" t="s">
        <v>10</v>
      </c>
    </row>
    <row r="6" spans="1:16" x14ac:dyDescent="0.3">
      <c r="A6" s="6" t="s">
        <v>100</v>
      </c>
      <c r="B6" s="2" t="s">
        <v>11</v>
      </c>
      <c r="C6" s="3" t="s">
        <v>12</v>
      </c>
      <c r="D6" s="3" t="s">
        <v>9</v>
      </c>
      <c r="E6" s="2">
        <v>42.2</v>
      </c>
      <c r="F6" s="2">
        <v>48.5</v>
      </c>
      <c r="G6" s="2">
        <v>0</v>
      </c>
      <c r="H6" s="5" t="s">
        <v>10</v>
      </c>
      <c r="I6" s="6" t="s">
        <v>68</v>
      </c>
      <c r="J6" s="2" t="s">
        <v>11</v>
      </c>
      <c r="K6" s="3" t="s">
        <v>12</v>
      </c>
      <c r="L6" s="3" t="s">
        <v>9</v>
      </c>
      <c r="M6" s="2">
        <f t="shared" ref="M6:M39" si="0">E6+100</f>
        <v>142.19999999999999</v>
      </c>
      <c r="N6" s="2">
        <v>48.5</v>
      </c>
      <c r="O6" s="2">
        <v>0</v>
      </c>
      <c r="P6" s="5" t="s">
        <v>10</v>
      </c>
    </row>
    <row r="7" spans="1:16" x14ac:dyDescent="0.3">
      <c r="A7" s="6" t="s">
        <v>101</v>
      </c>
      <c r="B7" s="2" t="s">
        <v>13</v>
      </c>
      <c r="C7" s="3" t="s">
        <v>14</v>
      </c>
      <c r="D7" s="3" t="s">
        <v>9</v>
      </c>
      <c r="E7" s="2">
        <v>79</v>
      </c>
      <c r="F7" s="2">
        <v>118</v>
      </c>
      <c r="G7" s="2">
        <v>-90</v>
      </c>
      <c r="H7" s="5" t="s">
        <v>10</v>
      </c>
      <c r="I7" s="6" t="s">
        <v>119</v>
      </c>
      <c r="J7" s="2" t="s">
        <v>13</v>
      </c>
      <c r="K7" s="3" t="s">
        <v>14</v>
      </c>
      <c r="L7" s="3" t="s">
        <v>9</v>
      </c>
      <c r="M7" s="2">
        <f t="shared" si="0"/>
        <v>179</v>
      </c>
      <c r="N7" s="2">
        <v>118</v>
      </c>
      <c r="O7" s="2">
        <v>-90</v>
      </c>
      <c r="P7" s="5" t="s">
        <v>10</v>
      </c>
    </row>
    <row r="8" spans="1:16" x14ac:dyDescent="0.3">
      <c r="A8" s="6" t="s">
        <v>70</v>
      </c>
      <c r="B8" s="2" t="s">
        <v>15</v>
      </c>
      <c r="C8" s="3" t="s">
        <v>8</v>
      </c>
      <c r="D8" s="3" t="s">
        <v>9</v>
      </c>
      <c r="E8" s="2">
        <v>64.41</v>
      </c>
      <c r="F8" s="2">
        <v>54.49</v>
      </c>
      <c r="G8" s="2">
        <v>-90</v>
      </c>
      <c r="H8" s="5" t="s">
        <v>10</v>
      </c>
      <c r="I8" s="4" t="s">
        <v>69</v>
      </c>
      <c r="J8" s="2" t="s">
        <v>15</v>
      </c>
      <c r="K8" s="3" t="s">
        <v>8</v>
      </c>
      <c r="L8" s="3" t="s">
        <v>9</v>
      </c>
      <c r="M8" s="2">
        <f t="shared" si="0"/>
        <v>164.41</v>
      </c>
      <c r="N8" s="2">
        <v>54.49</v>
      </c>
      <c r="O8" s="2">
        <v>-90</v>
      </c>
      <c r="P8" s="5" t="s">
        <v>10</v>
      </c>
    </row>
    <row r="9" spans="1:16" x14ac:dyDescent="0.3">
      <c r="A9" s="6" t="s">
        <v>72</v>
      </c>
      <c r="B9" s="2" t="s">
        <v>16</v>
      </c>
      <c r="C9" s="3" t="s">
        <v>17</v>
      </c>
      <c r="D9" s="3" t="s">
        <v>9</v>
      </c>
      <c r="E9" s="2">
        <v>83</v>
      </c>
      <c r="F9" s="2">
        <v>63.5</v>
      </c>
      <c r="G9" s="2">
        <v>90</v>
      </c>
      <c r="H9" s="5" t="s">
        <v>10</v>
      </c>
      <c r="I9" s="6" t="s">
        <v>71</v>
      </c>
      <c r="J9" s="2" t="s">
        <v>16</v>
      </c>
      <c r="K9" s="3" t="s">
        <v>17</v>
      </c>
      <c r="L9" s="3" t="s">
        <v>9</v>
      </c>
      <c r="M9" s="2">
        <f t="shared" si="0"/>
        <v>183</v>
      </c>
      <c r="N9" s="2">
        <v>63.5</v>
      </c>
      <c r="O9" s="2">
        <v>90</v>
      </c>
      <c r="P9" s="5" t="s">
        <v>10</v>
      </c>
    </row>
    <row r="10" spans="1:16" x14ac:dyDescent="0.3">
      <c r="A10" s="6" t="s">
        <v>74</v>
      </c>
      <c r="B10" s="2" t="s">
        <v>18</v>
      </c>
      <c r="C10" s="3" t="s">
        <v>8</v>
      </c>
      <c r="D10" s="3" t="s">
        <v>9</v>
      </c>
      <c r="E10" s="2">
        <v>79</v>
      </c>
      <c r="F10" s="2">
        <v>85.5</v>
      </c>
      <c r="G10" s="2">
        <v>-90</v>
      </c>
      <c r="H10" s="5" t="s">
        <v>10</v>
      </c>
      <c r="I10" s="6" t="s">
        <v>73</v>
      </c>
      <c r="J10" s="2" t="s">
        <v>18</v>
      </c>
      <c r="K10" s="3" t="s">
        <v>8</v>
      </c>
      <c r="L10" s="3" t="s">
        <v>9</v>
      </c>
      <c r="M10" s="2">
        <f t="shared" si="0"/>
        <v>179</v>
      </c>
      <c r="N10" s="2">
        <v>85.5</v>
      </c>
      <c r="O10" s="2">
        <v>-90</v>
      </c>
      <c r="P10" s="5" t="s">
        <v>10</v>
      </c>
    </row>
    <row r="11" spans="1:16" x14ac:dyDescent="0.3">
      <c r="A11" s="6" t="s">
        <v>76</v>
      </c>
      <c r="B11" s="2" t="s">
        <v>19</v>
      </c>
      <c r="C11" s="3" t="s">
        <v>17</v>
      </c>
      <c r="D11" s="3" t="s">
        <v>9</v>
      </c>
      <c r="E11" s="2">
        <v>86</v>
      </c>
      <c r="F11" s="2">
        <v>63.5</v>
      </c>
      <c r="G11" s="2">
        <v>90</v>
      </c>
      <c r="H11" s="5" t="s">
        <v>10</v>
      </c>
      <c r="I11" s="4" t="s">
        <v>75</v>
      </c>
      <c r="J11" s="2" t="s">
        <v>19</v>
      </c>
      <c r="K11" s="3" t="s">
        <v>17</v>
      </c>
      <c r="L11" s="3" t="s">
        <v>9</v>
      </c>
      <c r="M11" s="2">
        <f t="shared" si="0"/>
        <v>186</v>
      </c>
      <c r="N11" s="2">
        <v>63.5</v>
      </c>
      <c r="O11" s="2">
        <v>90</v>
      </c>
      <c r="P11" s="5" t="s">
        <v>10</v>
      </c>
    </row>
    <row r="12" spans="1:16" x14ac:dyDescent="0.3">
      <c r="A12" s="6" t="s">
        <v>78</v>
      </c>
      <c r="B12" s="2" t="s">
        <v>20</v>
      </c>
      <c r="C12" s="3" t="s">
        <v>12</v>
      </c>
      <c r="D12" s="3" t="s">
        <v>9</v>
      </c>
      <c r="E12" s="2">
        <v>74</v>
      </c>
      <c r="F12" s="2">
        <v>63.5</v>
      </c>
      <c r="G12" s="2">
        <v>90</v>
      </c>
      <c r="H12" s="5" t="s">
        <v>10</v>
      </c>
      <c r="I12" s="6" t="s">
        <v>77</v>
      </c>
      <c r="J12" s="2" t="s">
        <v>20</v>
      </c>
      <c r="K12" s="3" t="s">
        <v>12</v>
      </c>
      <c r="L12" s="3" t="s">
        <v>9</v>
      </c>
      <c r="M12" s="2">
        <f t="shared" si="0"/>
        <v>174</v>
      </c>
      <c r="N12" s="2">
        <v>63.5</v>
      </c>
      <c r="O12" s="2">
        <v>90</v>
      </c>
      <c r="P12" s="5" t="s">
        <v>10</v>
      </c>
    </row>
    <row r="13" spans="1:16" x14ac:dyDescent="0.3">
      <c r="A13" s="6" t="s">
        <v>80</v>
      </c>
      <c r="B13" s="2" t="s">
        <v>21</v>
      </c>
      <c r="C13" s="3" t="s">
        <v>22</v>
      </c>
      <c r="D13" s="3" t="s">
        <v>9</v>
      </c>
      <c r="E13" s="2">
        <v>80</v>
      </c>
      <c r="F13" s="2">
        <v>63.5</v>
      </c>
      <c r="G13" s="2">
        <v>-90</v>
      </c>
      <c r="H13" s="5" t="s">
        <v>10</v>
      </c>
      <c r="I13" s="6" t="s">
        <v>79</v>
      </c>
      <c r="J13" s="2" t="s">
        <v>21</v>
      </c>
      <c r="K13" s="3" t="s">
        <v>22</v>
      </c>
      <c r="L13" s="3" t="s">
        <v>9</v>
      </c>
      <c r="M13" s="2">
        <f t="shared" si="0"/>
        <v>180</v>
      </c>
      <c r="N13" s="2">
        <v>63.5</v>
      </c>
      <c r="O13" s="2">
        <v>-90</v>
      </c>
      <c r="P13" s="5" t="s">
        <v>10</v>
      </c>
    </row>
    <row r="14" spans="1:16" x14ac:dyDescent="0.3">
      <c r="A14" s="6" t="s">
        <v>82</v>
      </c>
      <c r="B14" s="2" t="s">
        <v>23</v>
      </c>
      <c r="C14" s="3" t="s">
        <v>8</v>
      </c>
      <c r="D14" s="3" t="s">
        <v>9</v>
      </c>
      <c r="E14" s="2">
        <v>28</v>
      </c>
      <c r="F14" s="2">
        <v>22</v>
      </c>
      <c r="G14" s="2">
        <v>-90</v>
      </c>
      <c r="H14" s="5" t="s">
        <v>10</v>
      </c>
      <c r="I14" s="4" t="s">
        <v>81</v>
      </c>
      <c r="J14" s="2" t="s">
        <v>23</v>
      </c>
      <c r="K14" s="3" t="s">
        <v>8</v>
      </c>
      <c r="L14" s="3" t="s">
        <v>9</v>
      </c>
      <c r="M14" s="2">
        <f t="shared" si="0"/>
        <v>128</v>
      </c>
      <c r="N14" s="2">
        <v>22</v>
      </c>
      <c r="O14" s="2">
        <v>-90</v>
      </c>
      <c r="P14" s="5" t="s">
        <v>10</v>
      </c>
    </row>
    <row r="15" spans="1:16" x14ac:dyDescent="0.3">
      <c r="A15" s="6" t="s">
        <v>84</v>
      </c>
      <c r="B15" s="2" t="s">
        <v>24</v>
      </c>
      <c r="C15" s="3" t="s">
        <v>8</v>
      </c>
      <c r="D15" s="3" t="s">
        <v>9</v>
      </c>
      <c r="E15" s="2">
        <v>54.8</v>
      </c>
      <c r="F15" s="2">
        <v>26</v>
      </c>
      <c r="G15" s="2">
        <v>180</v>
      </c>
      <c r="H15" s="5" t="s">
        <v>10</v>
      </c>
      <c r="I15" s="6" t="s">
        <v>83</v>
      </c>
      <c r="J15" s="2" t="s">
        <v>24</v>
      </c>
      <c r="K15" s="3" t="s">
        <v>8</v>
      </c>
      <c r="L15" s="3" t="s">
        <v>9</v>
      </c>
      <c r="M15" s="2">
        <f t="shared" si="0"/>
        <v>154.80000000000001</v>
      </c>
      <c r="N15" s="2">
        <v>26</v>
      </c>
      <c r="O15" s="2">
        <v>180</v>
      </c>
      <c r="P15" s="5" t="s">
        <v>10</v>
      </c>
    </row>
    <row r="16" spans="1:16" x14ac:dyDescent="0.3">
      <c r="A16" s="6" t="s">
        <v>86</v>
      </c>
      <c r="B16" s="2" t="s">
        <v>25</v>
      </c>
      <c r="C16" s="3" t="s">
        <v>8</v>
      </c>
      <c r="D16" s="3" t="s">
        <v>9</v>
      </c>
      <c r="E16" s="2">
        <v>82.9</v>
      </c>
      <c r="F16" s="2">
        <v>23.4</v>
      </c>
      <c r="G16" s="2">
        <v>180</v>
      </c>
      <c r="H16" s="5" t="s">
        <v>10</v>
      </c>
      <c r="I16" s="6" t="s">
        <v>85</v>
      </c>
      <c r="J16" s="2" t="s">
        <v>25</v>
      </c>
      <c r="K16" s="3" t="s">
        <v>8</v>
      </c>
      <c r="L16" s="3" t="s">
        <v>9</v>
      </c>
      <c r="M16" s="2">
        <f t="shared" si="0"/>
        <v>182.9</v>
      </c>
      <c r="N16" s="2">
        <v>23.4</v>
      </c>
      <c r="O16" s="2">
        <v>180</v>
      </c>
      <c r="P16" s="5" t="s">
        <v>10</v>
      </c>
    </row>
    <row r="17" spans="1:16" x14ac:dyDescent="0.3">
      <c r="A17" s="6" t="s">
        <v>88</v>
      </c>
      <c r="B17" s="2" t="s">
        <v>26</v>
      </c>
      <c r="C17" s="3" t="s">
        <v>8</v>
      </c>
      <c r="D17" s="3" t="s">
        <v>9</v>
      </c>
      <c r="E17" s="2">
        <v>82.9</v>
      </c>
      <c r="F17" s="2">
        <v>17.899999999999999</v>
      </c>
      <c r="G17" s="2">
        <v>180</v>
      </c>
      <c r="H17" s="5" t="s">
        <v>10</v>
      </c>
      <c r="I17" s="4" t="s">
        <v>87</v>
      </c>
      <c r="J17" s="2" t="s">
        <v>26</v>
      </c>
      <c r="K17" s="3" t="s">
        <v>8</v>
      </c>
      <c r="L17" s="3" t="s">
        <v>9</v>
      </c>
      <c r="M17" s="2">
        <f t="shared" si="0"/>
        <v>182.9</v>
      </c>
      <c r="N17" s="2">
        <v>17.899999999999999</v>
      </c>
      <c r="O17" s="2">
        <v>180</v>
      </c>
      <c r="P17" s="5" t="s">
        <v>10</v>
      </c>
    </row>
    <row r="18" spans="1:16" x14ac:dyDescent="0.3">
      <c r="A18" s="6" t="s">
        <v>90</v>
      </c>
      <c r="B18" s="2" t="s">
        <v>27</v>
      </c>
      <c r="C18" s="3" t="s">
        <v>28</v>
      </c>
      <c r="D18" s="3" t="s">
        <v>29</v>
      </c>
      <c r="E18" s="2">
        <v>94.5</v>
      </c>
      <c r="F18" s="2">
        <v>92</v>
      </c>
      <c r="G18" s="2">
        <v>90</v>
      </c>
      <c r="H18" s="5" t="s">
        <v>10</v>
      </c>
      <c r="I18" s="6" t="s">
        <v>89</v>
      </c>
      <c r="J18" s="2" t="s">
        <v>27</v>
      </c>
      <c r="K18" s="3" t="s">
        <v>28</v>
      </c>
      <c r="L18" s="3" t="s">
        <v>29</v>
      </c>
      <c r="M18" s="2">
        <f t="shared" si="0"/>
        <v>194.5</v>
      </c>
      <c r="N18" s="2">
        <v>92</v>
      </c>
      <c r="O18" s="2">
        <v>90</v>
      </c>
      <c r="P18" s="5" t="s">
        <v>10</v>
      </c>
    </row>
    <row r="19" spans="1:16" x14ac:dyDescent="0.3">
      <c r="A19" s="6" t="s">
        <v>92</v>
      </c>
      <c r="B19" s="2" t="s">
        <v>30</v>
      </c>
      <c r="C19" s="3" t="s">
        <v>28</v>
      </c>
      <c r="D19" s="3" t="s">
        <v>29</v>
      </c>
      <c r="E19" s="2">
        <v>46</v>
      </c>
      <c r="F19" s="2">
        <v>7.2</v>
      </c>
      <c r="G19" s="2">
        <v>90</v>
      </c>
      <c r="H19" s="5" t="s">
        <v>10</v>
      </c>
      <c r="I19" s="6" t="s">
        <v>91</v>
      </c>
      <c r="J19" s="2" t="s">
        <v>30</v>
      </c>
      <c r="K19" s="3" t="s">
        <v>28</v>
      </c>
      <c r="L19" s="3" t="s">
        <v>29</v>
      </c>
      <c r="M19" s="2">
        <f t="shared" si="0"/>
        <v>146</v>
      </c>
      <c r="N19" s="2">
        <v>7.2</v>
      </c>
      <c r="O19" s="2">
        <v>90</v>
      </c>
      <c r="P19" s="5" t="s">
        <v>10</v>
      </c>
    </row>
    <row r="20" spans="1:16" x14ac:dyDescent="0.3">
      <c r="A20" s="6" t="s">
        <v>94</v>
      </c>
      <c r="B20" s="2" t="s">
        <v>31</v>
      </c>
      <c r="C20" s="3" t="s">
        <v>32</v>
      </c>
      <c r="D20" s="3" t="s">
        <v>33</v>
      </c>
      <c r="E20" s="2">
        <v>75.5</v>
      </c>
      <c r="F20" s="2">
        <v>118</v>
      </c>
      <c r="G20" s="2">
        <v>90</v>
      </c>
      <c r="H20" s="5" t="s">
        <v>10</v>
      </c>
      <c r="I20" s="4" t="s">
        <v>93</v>
      </c>
      <c r="J20" s="2" t="s">
        <v>31</v>
      </c>
      <c r="K20" s="3" t="s">
        <v>32</v>
      </c>
      <c r="L20" s="3" t="s">
        <v>33</v>
      </c>
      <c r="M20" s="2">
        <f t="shared" si="0"/>
        <v>175.5</v>
      </c>
      <c r="N20" s="2">
        <v>118</v>
      </c>
      <c r="O20" s="2">
        <v>90</v>
      </c>
      <c r="P20" s="5" t="s">
        <v>10</v>
      </c>
    </row>
    <row r="21" spans="1:16" x14ac:dyDescent="0.3">
      <c r="A21" s="6" t="s">
        <v>96</v>
      </c>
      <c r="B21" s="2" t="s">
        <v>34</v>
      </c>
      <c r="C21" s="3" t="s">
        <v>35</v>
      </c>
      <c r="D21" s="3" t="s">
        <v>33</v>
      </c>
      <c r="E21" s="2">
        <v>77</v>
      </c>
      <c r="F21" s="2">
        <v>109</v>
      </c>
      <c r="G21" s="2">
        <v>180</v>
      </c>
      <c r="H21" s="5" t="s">
        <v>10</v>
      </c>
      <c r="I21" s="6" t="s">
        <v>95</v>
      </c>
      <c r="J21" s="2" t="s">
        <v>34</v>
      </c>
      <c r="K21" s="3" t="s">
        <v>35</v>
      </c>
      <c r="L21" s="3" t="s">
        <v>33</v>
      </c>
      <c r="M21" s="2">
        <f t="shared" si="0"/>
        <v>177</v>
      </c>
      <c r="N21" s="2">
        <v>109</v>
      </c>
      <c r="O21" s="2">
        <v>180</v>
      </c>
      <c r="P21" s="5" t="s">
        <v>10</v>
      </c>
    </row>
    <row r="22" spans="1:16" x14ac:dyDescent="0.3">
      <c r="A22" s="6" t="s">
        <v>98</v>
      </c>
      <c r="B22" s="2" t="s">
        <v>36</v>
      </c>
      <c r="C22" s="3" t="s">
        <v>37</v>
      </c>
      <c r="D22" s="3" t="s">
        <v>33</v>
      </c>
      <c r="E22" s="2">
        <v>53</v>
      </c>
      <c r="F22" s="2">
        <v>63</v>
      </c>
      <c r="G22" s="2">
        <v>0</v>
      </c>
      <c r="H22" s="5" t="s">
        <v>10</v>
      </c>
      <c r="I22" s="6" t="s">
        <v>97</v>
      </c>
      <c r="J22" s="2" t="s">
        <v>36</v>
      </c>
      <c r="K22" s="3" t="s">
        <v>37</v>
      </c>
      <c r="L22" s="3" t="s">
        <v>33</v>
      </c>
      <c r="M22" s="2">
        <f t="shared" si="0"/>
        <v>153</v>
      </c>
      <c r="N22" s="2">
        <v>63</v>
      </c>
      <c r="O22" s="2">
        <v>0</v>
      </c>
      <c r="P22" s="5" t="s">
        <v>10</v>
      </c>
    </row>
    <row r="23" spans="1:16" x14ac:dyDescent="0.3">
      <c r="A23" s="6" t="s">
        <v>102</v>
      </c>
      <c r="B23" s="2" t="s">
        <v>38</v>
      </c>
      <c r="C23" s="3" t="s">
        <v>37</v>
      </c>
      <c r="D23" s="3" t="s">
        <v>33</v>
      </c>
      <c r="E23" s="2">
        <v>53</v>
      </c>
      <c r="F23" s="2">
        <v>66</v>
      </c>
      <c r="G23" s="2">
        <v>180</v>
      </c>
      <c r="H23" s="5" t="s">
        <v>10</v>
      </c>
      <c r="I23" s="4" t="s">
        <v>120</v>
      </c>
      <c r="J23" s="2" t="s">
        <v>38</v>
      </c>
      <c r="K23" s="3" t="s">
        <v>37</v>
      </c>
      <c r="L23" s="3" t="s">
        <v>33</v>
      </c>
      <c r="M23" s="2">
        <f t="shared" si="0"/>
        <v>153</v>
      </c>
      <c r="N23" s="2">
        <v>66</v>
      </c>
      <c r="O23" s="2">
        <v>180</v>
      </c>
      <c r="P23" s="5" t="s">
        <v>10</v>
      </c>
    </row>
    <row r="24" spans="1:16" x14ac:dyDescent="0.3">
      <c r="A24" s="6" t="s">
        <v>103</v>
      </c>
      <c r="B24" s="2" t="s">
        <v>39</v>
      </c>
      <c r="C24" s="3" t="s">
        <v>40</v>
      </c>
      <c r="D24" s="3" t="s">
        <v>33</v>
      </c>
      <c r="E24" s="2">
        <v>82</v>
      </c>
      <c r="F24" s="2">
        <v>76</v>
      </c>
      <c r="G24" s="2">
        <v>-90</v>
      </c>
      <c r="H24" s="5" t="s">
        <v>10</v>
      </c>
      <c r="I24" s="6" t="s">
        <v>121</v>
      </c>
      <c r="J24" s="2" t="s">
        <v>39</v>
      </c>
      <c r="K24" s="3" t="s">
        <v>40</v>
      </c>
      <c r="L24" s="3" t="s">
        <v>33</v>
      </c>
      <c r="M24" s="2">
        <f t="shared" si="0"/>
        <v>182</v>
      </c>
      <c r="N24" s="2">
        <v>76</v>
      </c>
      <c r="O24" s="2">
        <v>-90</v>
      </c>
      <c r="P24" s="5" t="s">
        <v>10</v>
      </c>
    </row>
    <row r="25" spans="1:16" x14ac:dyDescent="0.3">
      <c r="A25" s="6" t="s">
        <v>104</v>
      </c>
      <c r="B25" s="2" t="s">
        <v>41</v>
      </c>
      <c r="C25" s="3" t="s">
        <v>42</v>
      </c>
      <c r="D25" s="3" t="s">
        <v>33</v>
      </c>
      <c r="E25" s="2">
        <v>85</v>
      </c>
      <c r="F25" s="2">
        <v>76</v>
      </c>
      <c r="G25" s="2">
        <v>-90</v>
      </c>
      <c r="H25" s="5" t="s">
        <v>10</v>
      </c>
      <c r="I25" s="6" t="s">
        <v>122</v>
      </c>
      <c r="J25" s="2" t="s">
        <v>41</v>
      </c>
      <c r="K25" s="3" t="s">
        <v>42</v>
      </c>
      <c r="L25" s="3" t="s">
        <v>33</v>
      </c>
      <c r="M25" s="2">
        <f t="shared" si="0"/>
        <v>185</v>
      </c>
      <c r="N25" s="2">
        <v>76</v>
      </c>
      <c r="O25" s="2">
        <v>-90</v>
      </c>
      <c r="P25" s="5" t="s">
        <v>10</v>
      </c>
    </row>
    <row r="26" spans="1:16" x14ac:dyDescent="0.3">
      <c r="A26" s="6" t="s">
        <v>105</v>
      </c>
      <c r="B26" s="2" t="s">
        <v>43</v>
      </c>
      <c r="C26" s="3" t="s">
        <v>35</v>
      </c>
      <c r="D26" s="3" t="s">
        <v>33</v>
      </c>
      <c r="E26" s="2">
        <v>79</v>
      </c>
      <c r="F26" s="2">
        <v>76</v>
      </c>
      <c r="G26" s="2">
        <v>-90</v>
      </c>
      <c r="H26" s="5" t="s">
        <v>10</v>
      </c>
      <c r="I26" s="4" t="s">
        <v>123</v>
      </c>
      <c r="J26" s="2" t="s">
        <v>43</v>
      </c>
      <c r="K26" s="3" t="s">
        <v>35</v>
      </c>
      <c r="L26" s="3" t="s">
        <v>33</v>
      </c>
      <c r="M26" s="2">
        <f t="shared" si="0"/>
        <v>179</v>
      </c>
      <c r="N26" s="2">
        <v>76</v>
      </c>
      <c r="O26" s="2">
        <v>-90</v>
      </c>
      <c r="P26" s="5" t="s">
        <v>10</v>
      </c>
    </row>
    <row r="27" spans="1:16" x14ac:dyDescent="0.3">
      <c r="A27" s="6" t="s">
        <v>106</v>
      </c>
      <c r="B27" s="2" t="s">
        <v>44</v>
      </c>
      <c r="C27" s="3" t="s">
        <v>45</v>
      </c>
      <c r="D27" s="3" t="s">
        <v>33</v>
      </c>
      <c r="E27" s="2">
        <v>76</v>
      </c>
      <c r="F27" s="2">
        <v>76</v>
      </c>
      <c r="G27" s="2">
        <v>-90</v>
      </c>
      <c r="H27" s="5" t="s">
        <v>10</v>
      </c>
      <c r="I27" s="6" t="s">
        <v>124</v>
      </c>
      <c r="J27" s="2" t="s">
        <v>44</v>
      </c>
      <c r="K27" s="3" t="s">
        <v>45</v>
      </c>
      <c r="L27" s="3" t="s">
        <v>33</v>
      </c>
      <c r="M27" s="2">
        <f t="shared" si="0"/>
        <v>176</v>
      </c>
      <c r="N27" s="2">
        <v>76</v>
      </c>
      <c r="O27" s="2">
        <v>-90</v>
      </c>
      <c r="P27" s="5" t="s">
        <v>10</v>
      </c>
    </row>
    <row r="28" spans="1:16" x14ac:dyDescent="0.3">
      <c r="A28" s="6" t="s">
        <v>107</v>
      </c>
      <c r="B28" s="2" t="s">
        <v>46</v>
      </c>
      <c r="C28" s="3" t="s">
        <v>47</v>
      </c>
      <c r="D28" s="3" t="s">
        <v>33</v>
      </c>
      <c r="E28" s="2">
        <v>73</v>
      </c>
      <c r="F28" s="2">
        <v>76</v>
      </c>
      <c r="G28" s="2">
        <v>90</v>
      </c>
      <c r="H28" s="5" t="s">
        <v>10</v>
      </c>
      <c r="I28" s="6" t="s">
        <v>125</v>
      </c>
      <c r="J28" s="2" t="s">
        <v>46</v>
      </c>
      <c r="K28" s="3" t="s">
        <v>47</v>
      </c>
      <c r="L28" s="3" t="s">
        <v>33</v>
      </c>
      <c r="M28" s="2">
        <f t="shared" si="0"/>
        <v>173</v>
      </c>
      <c r="N28" s="2">
        <v>76</v>
      </c>
      <c r="O28" s="2">
        <v>90</v>
      </c>
      <c r="P28" s="5" t="s">
        <v>10</v>
      </c>
    </row>
    <row r="29" spans="1:16" x14ac:dyDescent="0.3">
      <c r="A29" s="6" t="s">
        <v>108</v>
      </c>
      <c r="B29" s="2" t="s">
        <v>48</v>
      </c>
      <c r="C29" s="3" t="s">
        <v>49</v>
      </c>
      <c r="D29" s="3" t="s">
        <v>33</v>
      </c>
      <c r="E29" s="2">
        <v>12.5</v>
      </c>
      <c r="F29" s="2">
        <v>17.5</v>
      </c>
      <c r="G29" s="2">
        <v>0</v>
      </c>
      <c r="H29" s="5" t="s">
        <v>10</v>
      </c>
      <c r="I29" s="4" t="s">
        <v>126</v>
      </c>
      <c r="J29" s="2" t="s">
        <v>48</v>
      </c>
      <c r="K29" s="3" t="s">
        <v>49</v>
      </c>
      <c r="L29" s="3" t="s">
        <v>33</v>
      </c>
      <c r="M29" s="2">
        <f t="shared" si="0"/>
        <v>112.5</v>
      </c>
      <c r="N29" s="2">
        <v>17.5</v>
      </c>
      <c r="O29" s="2">
        <v>0</v>
      </c>
      <c r="P29" s="5" t="s">
        <v>10</v>
      </c>
    </row>
    <row r="30" spans="1:16" x14ac:dyDescent="0.3">
      <c r="A30" s="6" t="s">
        <v>109</v>
      </c>
      <c r="B30" s="2" t="s">
        <v>50</v>
      </c>
      <c r="C30" s="3" t="s">
        <v>49</v>
      </c>
      <c r="D30" s="3" t="s">
        <v>33</v>
      </c>
      <c r="E30" s="2">
        <v>42</v>
      </c>
      <c r="F30" s="2">
        <v>38</v>
      </c>
      <c r="G30" s="2">
        <v>90</v>
      </c>
      <c r="H30" s="5" t="s">
        <v>10</v>
      </c>
      <c r="I30" s="6" t="s">
        <v>127</v>
      </c>
      <c r="J30" s="2" t="s">
        <v>50</v>
      </c>
      <c r="K30" s="3" t="s">
        <v>49</v>
      </c>
      <c r="L30" s="3" t="s">
        <v>33</v>
      </c>
      <c r="M30" s="2">
        <f t="shared" si="0"/>
        <v>142</v>
      </c>
      <c r="N30" s="2">
        <v>38</v>
      </c>
      <c r="O30" s="2">
        <v>90</v>
      </c>
      <c r="P30" s="5" t="s">
        <v>10</v>
      </c>
    </row>
    <row r="31" spans="1:16" x14ac:dyDescent="0.3">
      <c r="A31" s="6" t="s">
        <v>110</v>
      </c>
      <c r="B31" s="2" t="s">
        <v>51</v>
      </c>
      <c r="C31" s="3" t="s">
        <v>49</v>
      </c>
      <c r="D31" s="3" t="s">
        <v>33</v>
      </c>
      <c r="E31" s="2">
        <v>76</v>
      </c>
      <c r="F31" s="2">
        <v>47</v>
      </c>
      <c r="G31" s="2">
        <v>90</v>
      </c>
      <c r="H31" s="5" t="s">
        <v>10</v>
      </c>
      <c r="I31" s="6" t="s">
        <v>128</v>
      </c>
      <c r="J31" s="2" t="s">
        <v>51</v>
      </c>
      <c r="K31" s="3" t="s">
        <v>49</v>
      </c>
      <c r="L31" s="3" t="s">
        <v>33</v>
      </c>
      <c r="M31" s="2">
        <f t="shared" si="0"/>
        <v>176</v>
      </c>
      <c r="N31" s="2">
        <v>47</v>
      </c>
      <c r="O31" s="2">
        <v>90</v>
      </c>
      <c r="P31" s="5" t="s">
        <v>10</v>
      </c>
    </row>
    <row r="32" spans="1:16" x14ac:dyDescent="0.3">
      <c r="A32" s="6" t="s">
        <v>111</v>
      </c>
      <c r="B32" s="2" t="s">
        <v>52</v>
      </c>
      <c r="C32" s="3" t="s">
        <v>53</v>
      </c>
      <c r="D32" s="3" t="s">
        <v>33</v>
      </c>
      <c r="E32" s="2">
        <v>77</v>
      </c>
      <c r="F32" s="2">
        <v>63.5</v>
      </c>
      <c r="G32" s="2">
        <v>90</v>
      </c>
      <c r="H32" s="5" t="s">
        <v>10</v>
      </c>
      <c r="I32" s="4" t="s">
        <v>129</v>
      </c>
      <c r="J32" s="2" t="s">
        <v>52</v>
      </c>
      <c r="K32" s="3" t="s">
        <v>53</v>
      </c>
      <c r="L32" s="3" t="s">
        <v>33</v>
      </c>
      <c r="M32" s="2">
        <f t="shared" si="0"/>
        <v>177</v>
      </c>
      <c r="N32" s="2">
        <v>63.5</v>
      </c>
      <c r="O32" s="2">
        <v>90</v>
      </c>
      <c r="P32" s="5" t="s">
        <v>10</v>
      </c>
    </row>
    <row r="33" spans="1:16" x14ac:dyDescent="0.3">
      <c r="A33" s="6" t="s">
        <v>112</v>
      </c>
      <c r="B33" s="2" t="s">
        <v>54</v>
      </c>
      <c r="C33" s="3" t="s">
        <v>55</v>
      </c>
      <c r="D33" s="3" t="s">
        <v>33</v>
      </c>
      <c r="E33" s="2">
        <v>68</v>
      </c>
      <c r="F33" s="2">
        <v>63.5</v>
      </c>
      <c r="G33" s="2">
        <v>-90</v>
      </c>
      <c r="H33" s="5" t="s">
        <v>10</v>
      </c>
      <c r="I33" s="6" t="s">
        <v>130</v>
      </c>
      <c r="J33" s="2" t="s">
        <v>54</v>
      </c>
      <c r="K33" s="3" t="s">
        <v>55</v>
      </c>
      <c r="L33" s="3" t="s">
        <v>33</v>
      </c>
      <c r="M33" s="2">
        <f t="shared" si="0"/>
        <v>168</v>
      </c>
      <c r="N33" s="2">
        <v>63.5</v>
      </c>
      <c r="O33" s="2">
        <v>-90</v>
      </c>
      <c r="P33" s="5" t="s">
        <v>10</v>
      </c>
    </row>
    <row r="34" spans="1:16" x14ac:dyDescent="0.3">
      <c r="A34" s="6" t="s">
        <v>113</v>
      </c>
      <c r="B34" s="2" t="s">
        <v>56</v>
      </c>
      <c r="C34" s="3" t="s">
        <v>57</v>
      </c>
      <c r="D34" s="3" t="s">
        <v>33</v>
      </c>
      <c r="E34" s="2">
        <v>71</v>
      </c>
      <c r="F34" s="2">
        <v>63.5</v>
      </c>
      <c r="G34" s="2">
        <v>90</v>
      </c>
      <c r="H34" s="5" t="s">
        <v>10</v>
      </c>
      <c r="I34" s="6" t="s">
        <v>131</v>
      </c>
      <c r="J34" s="2" t="s">
        <v>56</v>
      </c>
      <c r="K34" s="3" t="s">
        <v>57</v>
      </c>
      <c r="L34" s="3" t="s">
        <v>33</v>
      </c>
      <c r="M34" s="2">
        <f t="shared" si="0"/>
        <v>171</v>
      </c>
      <c r="N34" s="2">
        <v>63.5</v>
      </c>
      <c r="O34" s="2">
        <v>90</v>
      </c>
      <c r="P34" s="5" t="s">
        <v>10</v>
      </c>
    </row>
    <row r="35" spans="1:16" x14ac:dyDescent="0.3">
      <c r="A35" s="6" t="s">
        <v>114</v>
      </c>
      <c r="B35" s="2" t="s">
        <v>58</v>
      </c>
      <c r="C35" s="3" t="s">
        <v>59</v>
      </c>
      <c r="D35" s="3" t="s">
        <v>33</v>
      </c>
      <c r="E35" s="2">
        <v>80</v>
      </c>
      <c r="F35" s="2">
        <v>55.5</v>
      </c>
      <c r="G35" s="2">
        <v>90</v>
      </c>
      <c r="H35" s="5" t="s">
        <v>10</v>
      </c>
      <c r="I35" s="4" t="s">
        <v>132</v>
      </c>
      <c r="J35" s="2" t="s">
        <v>58</v>
      </c>
      <c r="K35" s="3" t="s">
        <v>59</v>
      </c>
      <c r="L35" s="3" t="s">
        <v>33</v>
      </c>
      <c r="M35" s="2">
        <f t="shared" si="0"/>
        <v>180</v>
      </c>
      <c r="N35" s="2">
        <v>55.5</v>
      </c>
      <c r="O35" s="2">
        <v>90</v>
      </c>
      <c r="P35" s="5" t="s">
        <v>10</v>
      </c>
    </row>
    <row r="36" spans="1:16" x14ac:dyDescent="0.3">
      <c r="A36" s="6" t="s">
        <v>115</v>
      </c>
      <c r="B36" s="2" t="s">
        <v>60</v>
      </c>
      <c r="C36" s="3" t="s">
        <v>32</v>
      </c>
      <c r="D36" s="3" t="s">
        <v>33</v>
      </c>
      <c r="E36" s="2">
        <v>94.5</v>
      </c>
      <c r="F36" s="2">
        <v>98</v>
      </c>
      <c r="G36" s="2">
        <v>-90</v>
      </c>
      <c r="H36" s="5" t="s">
        <v>10</v>
      </c>
      <c r="I36" s="6" t="s">
        <v>133</v>
      </c>
      <c r="J36" s="2" t="s">
        <v>60</v>
      </c>
      <c r="K36" s="3" t="s">
        <v>32</v>
      </c>
      <c r="L36" s="3" t="s">
        <v>33</v>
      </c>
      <c r="M36" s="2">
        <f t="shared" si="0"/>
        <v>194.5</v>
      </c>
      <c r="N36" s="2">
        <v>98</v>
      </c>
      <c r="O36" s="2">
        <v>-90</v>
      </c>
      <c r="P36" s="5" t="s">
        <v>10</v>
      </c>
    </row>
    <row r="37" spans="1:16" x14ac:dyDescent="0.3">
      <c r="A37" s="6" t="s">
        <v>116</v>
      </c>
      <c r="B37" s="2" t="s">
        <v>61</v>
      </c>
      <c r="C37" s="3" t="s">
        <v>62</v>
      </c>
      <c r="D37" s="3" t="s">
        <v>33</v>
      </c>
      <c r="E37" s="2">
        <v>41</v>
      </c>
      <c r="F37" s="2">
        <v>7</v>
      </c>
      <c r="G37" s="2">
        <v>-90</v>
      </c>
      <c r="H37" s="5" t="s">
        <v>10</v>
      </c>
      <c r="I37" s="6" t="s">
        <v>134</v>
      </c>
      <c r="J37" s="2" t="s">
        <v>61</v>
      </c>
      <c r="K37" s="3" t="s">
        <v>62</v>
      </c>
      <c r="L37" s="3" t="s">
        <v>33</v>
      </c>
      <c r="M37" s="2">
        <f t="shared" si="0"/>
        <v>141</v>
      </c>
      <c r="N37" s="2">
        <v>7</v>
      </c>
      <c r="O37" s="2">
        <v>-90</v>
      </c>
      <c r="P37" s="5" t="s">
        <v>10</v>
      </c>
    </row>
    <row r="38" spans="1:16" x14ac:dyDescent="0.3">
      <c r="A38" s="6" t="s">
        <v>117</v>
      </c>
      <c r="B38" s="2" t="s">
        <v>63</v>
      </c>
      <c r="C38" s="3" t="s">
        <v>64</v>
      </c>
      <c r="D38" s="3" t="s">
        <v>33</v>
      </c>
      <c r="E38" s="2">
        <v>94.5</v>
      </c>
      <c r="F38" s="2">
        <v>107.5</v>
      </c>
      <c r="G38" s="2">
        <v>90</v>
      </c>
      <c r="H38" s="5" t="s">
        <v>10</v>
      </c>
      <c r="I38" s="4" t="s">
        <v>135</v>
      </c>
      <c r="J38" s="2" t="s">
        <v>63</v>
      </c>
      <c r="K38" s="3" t="s">
        <v>64</v>
      </c>
      <c r="L38" s="3" t="s">
        <v>33</v>
      </c>
      <c r="M38" s="2">
        <f t="shared" si="0"/>
        <v>194.5</v>
      </c>
      <c r="N38" s="2">
        <v>107.5</v>
      </c>
      <c r="O38" s="2">
        <v>90</v>
      </c>
      <c r="P38" s="5" t="s">
        <v>10</v>
      </c>
    </row>
    <row r="39" spans="1:16" ht="17.25" thickBot="1" x14ac:dyDescent="0.35">
      <c r="A39" s="7" t="s">
        <v>118</v>
      </c>
      <c r="B39" s="8" t="s">
        <v>65</v>
      </c>
      <c r="C39" s="9" t="s">
        <v>66</v>
      </c>
      <c r="D39" s="9" t="s">
        <v>33</v>
      </c>
      <c r="E39" s="8">
        <v>89.5</v>
      </c>
      <c r="F39" s="8">
        <v>89.5</v>
      </c>
      <c r="G39" s="8">
        <v>180</v>
      </c>
      <c r="H39" s="10" t="s">
        <v>10</v>
      </c>
      <c r="I39" s="7" t="s">
        <v>136</v>
      </c>
      <c r="J39" s="8" t="s">
        <v>65</v>
      </c>
      <c r="K39" s="9" t="s">
        <v>66</v>
      </c>
      <c r="L39" s="9" t="s">
        <v>33</v>
      </c>
      <c r="M39" s="8">
        <f t="shared" si="0"/>
        <v>189.5</v>
      </c>
      <c r="N39" s="8">
        <v>89.5</v>
      </c>
      <c r="O39" s="8">
        <v>180</v>
      </c>
      <c r="P39" s="10" t="s">
        <v>10</v>
      </c>
    </row>
  </sheetData>
  <mergeCells count="2">
    <mergeCell ref="C2:F2"/>
    <mergeCell ref="K2:N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POWER_BD_SV3_panelized-top-pos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cp:lastPrinted>2026-03-07T18:28:24Z</cp:lastPrinted>
  <dcterms:created xsi:type="dcterms:W3CDTF">2026-03-07T18:21:39Z</dcterms:created>
  <dcterms:modified xsi:type="dcterms:W3CDTF">2026-03-09T02:32:02Z</dcterms:modified>
</cp:coreProperties>
</file>